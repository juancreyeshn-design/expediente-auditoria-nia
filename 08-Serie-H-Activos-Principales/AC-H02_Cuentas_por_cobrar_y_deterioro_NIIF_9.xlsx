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<sst xmlns="http://schemas.openxmlformats.org/spreadsheetml/2006/main" count="66" uniqueCount="65">
  <si>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</si>
  <si>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</si>
  <si>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</si>
  <si>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</si>
  <si>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AC-H02</t>
  </si>
  <si>
    <t xml:space="preserve">Título:</t>
  </si>
  <si>
    <t xml:space="preserve">Cuentas por cobrar y deterioro (NIIF 9)</t>
  </si>
  <si>
    <t xml:space="preserve">Serie / Archivo:</t>
  </si>
  <si>
    <t xml:space="preserve">Archivo Corriente — Serie H: Activos Principales</t>
  </si>
  <si>
    <t xml:space="preserve">Procedimientos aplicados</t>
  </si>
  <si>
    <t xml:space="preserve">•  Circularización de clientes (ver AC-C07).</t>
  </si>
  <si>
    <t xml:space="preserve">•  Recálculo de la estimación de pérdida crediticia esperada bajo el modelo simplificado de NIIF 9.</t>
  </si>
  <si>
    <t xml:space="preserve">•  Análisis de antigüedad de saldos (aging).</t>
  </si>
  <si>
    <t xml:space="preserve">Análisis de antigüedad y estimación de deterioro</t>
  </si>
  <si>
    <t xml:space="preserve">Rango de antigüedad</t>
  </si>
  <si>
    <t xml:space="preserve">Saldo (L)</t>
  </si>
  <si>
    <t xml:space="preserve">% estimado de pérdida</t>
  </si>
  <si>
    <t xml:space="preserve">Estimación (L)</t>
  </si>
  <si>
    <t xml:space="preserve">0-30 días</t>
  </si>
  <si>
    <t xml:space="preserve">31-60 días</t>
  </si>
  <si>
    <t xml:space="preserve">61-90 días</t>
  </si>
  <si>
    <t xml:space="preserve">Más de 90 días</t>
  </si>
  <si>
    <t xml:space="preserve">TOTAL</t>
  </si>
  <si>
    <t xml:space="preserve">CONCLUSIÓN DE LA CÉDULA</t>
  </si>
  <si>
    <t xml:space="preserve">Estimación de pérdida crediticia esperada recalculada de forma independiente y razonable frente al modelo simplificado de NIIF 9. Consistente con el resultado de la circularización (AC-C07).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</si>
  <si>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</si>
  <si>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</si>
  <si>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</si>
  <si>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</si>
  <si>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</si>
  <si>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</si>
  <si>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</si>
  <si>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</si>
  <si>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</si>
  <si>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</si>
  <si>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</si>
  <si>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</si>
  <si>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</si>
  <si>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</si>
  <si>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</si>
  <si>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</si>
  <si>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</si>
  <si>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</si>
  <si>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</si>
  <si>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</si>
  <si>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</si>
  <si>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</si>
  <si>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</si>
  <si>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</si>
  <si>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</si>
  <si>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</si>
  <si>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</si>
  <si>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AC-H02</t>
  </si>
  <si>
    <t xml:space="preserve">Norma</t>
  </si>
  <si>
    <t xml:space="preserve">Aplicación en esta cédula</t>
  </si>
  <si>
    <t xml:space="preserve">NIIF 9 (referida en NIA 540)</t>
  </si>
  <si>
    <t xml:space="preserve">Modelo de pérdida crediticia esperada</t>
  </si>
  <si>
    <t xml:space="preserve">NIA 505</t>
  </si>
  <si>
    <t xml:space="preserve">Confirmaciones externas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</si>
  <si>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</si>
  <si>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</si>
  <si>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</si>
  <si>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</si>
  <si>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AC-C07</t>
  </si>
  <si>
    <t xml:space="preserve">AC-C01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</si>
</sst>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8" t="s">
        <v>12</v>
      </c>
      <c r="B12" s="8"/>
      <c r="C12" s="8"/>
      <c r="D12" s="8"/>
      <c r="E12" s="8"/>
      <c r="F12" s="8"/>
      <c r="G12" s="8"/>
      <c r="H12" s="8"/>
    </row>
    <row r="13" customFormat="false" ht="3.75" hidden="false" customHeight="true" outlineLevel="0" collapsed="false"/>
    <row r="14" customFormat="false" ht="15" hidden="false" customHeight="true" outlineLevel="0" collapsed="false">
      <c r="A14" s="7" t="s">
        <v>13</v>
      </c>
      <c r="B14" s="7"/>
      <c r="C14" s="7"/>
      <c r="D14" s="7"/>
      <c r="E14" s="7"/>
      <c r="F14" s="7"/>
      <c r="G14" s="7"/>
      <c r="H14" s="7"/>
    </row>
    <row r="15" customFormat="false" ht="23.85" hidden="false" customHeight="false" outlineLevel="0" collapsed="false">
      <c r="A15" s="9" t="s">
        <v>14</v>
      </c>
      <c r="B15" s="9" t="s">
        <v>15</v>
      </c>
      <c r="C15" s="9" t="s">
        <v>16</v>
      </c>
      <c r="D15" s="9" t="s">
        <v>17</v>
      </c>
    </row>
    <row r="16" customFormat="false" ht="15" hidden="false" customHeight="false" outlineLevel="0" collapsed="false">
      <c r="A16" s="10" t="s">
        <v>18</v>
      </c>
      <c r="B16" s="11" t="n">
        <v>5200000</v>
      </c>
      <c r="C16" s="11" t="n">
        <v>0.005</v>
      </c>
      <c r="D16" s="12" t="n">
        <f aca="false">B16*C16</f>
        <v>26000</v>
      </c>
    </row>
    <row r="17" customFormat="false" ht="15" hidden="false" customHeight="false" outlineLevel="0" collapsed="false">
      <c r="A17" s="10" t="s">
        <v>19</v>
      </c>
      <c r="B17" s="11" t="n">
        <v>2100000</v>
      </c>
      <c r="C17" s="11" t="n">
        <v>0.02</v>
      </c>
      <c r="D17" s="12" t="n">
        <f aca="false">B17*C17</f>
        <v>42000</v>
      </c>
    </row>
    <row r="18" customFormat="false" ht="15" hidden="false" customHeight="false" outlineLevel="0" collapsed="false">
      <c r="A18" s="10" t="s">
        <v>20</v>
      </c>
      <c r="B18" s="11" t="n">
        <v>900000</v>
      </c>
      <c r="C18" s="11" t="n">
        <v>0.08</v>
      </c>
      <c r="D18" s="12" t="n">
        <f aca="false">B18*C18</f>
        <v>72000</v>
      </c>
    </row>
    <row r="19" customFormat="false" ht="15" hidden="false" customHeight="false" outlineLevel="0" collapsed="false">
      <c r="A19" s="10" t="s">
        <v>21</v>
      </c>
      <c r="B19" s="11" t="n">
        <v>400000</v>
      </c>
      <c r="C19" s="11" t="n">
        <v>0.35</v>
      </c>
      <c r="D19" s="12" t="n">
        <f aca="false">B19*C19</f>
        <v>140000</v>
      </c>
    </row>
    <row r="20" customFormat="false" ht="15" hidden="false" customHeight="false" outlineLevel="0" collapsed="false">
      <c r="A20" s="13" t="s">
        <v>22</v>
      </c>
      <c r="B20" s="12" t="n">
        <f aca="false">SUM(B16:B19)</f>
        <v>8600000</v>
      </c>
      <c r="C20" s="10"/>
      <c r="D20" s="12" t="n">
        <f aca="false">SUM(D16:D19)</f>
        <v>280000</v>
      </c>
    </row>
    <row r="21" customFormat="false" ht="6" hidden="false" customHeight="true" outlineLevel="0" collapsed="false"/>
    <row r="22" customFormat="false" ht="18" hidden="false" customHeight="true" outlineLevel="0" collapsed="false">
      <c r="A22" s="14" t="s">
        <v>23</v>
      </c>
      <c r="B22" s="14"/>
      <c r="C22" s="14"/>
      <c r="D22" s="14"/>
      <c r="E22" s="14"/>
      <c r="F22" s="14"/>
      <c r="G22" s="14"/>
      <c r="H22" s="14"/>
    </row>
    <row r="23" customFormat="false" ht="15" hidden="false" customHeight="true" outlineLevel="0" collapsed="false">
      <c r="A23" s="15" t="s">
        <v>24</v>
      </c>
      <c r="B23" s="15"/>
      <c r="C23" s="15"/>
      <c r="D23" s="15"/>
      <c r="E23" s="15"/>
      <c r="F23" s="15"/>
      <c r="G23" s="15"/>
      <c r="H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</row>
    <row r="26" customFormat="false" ht="7.5" hidden="false" customHeight="true" outlineLevel="0" collapsed="false"/>
    <row r="27" customFormat="false" ht="15" hidden="false" customHeight="false" outlineLevel="0" collapsed="false">
      <c r="A27" s="9" t="s">
        <v>25</v>
      </c>
      <c r="B27" s="9" t="s">
        <v>26</v>
      </c>
      <c r="C27" s="9" t="s">
        <v>27</v>
      </c>
      <c r="D27" s="9" t="s">
        <v>26</v>
      </c>
      <c r="E27" s="9"/>
      <c r="F27" s="9"/>
      <c r="G27" s="9"/>
      <c r="H27" s="9"/>
    </row>
    <row r="28" customFormat="false" ht="15" hidden="false" customHeight="false" outlineLevel="0" collapsed="false">
      <c r="A28" s="16"/>
      <c r="B28" s="16"/>
      <c r="C28" s="16"/>
      <c r="D28" s="16"/>
    </row>
    <row r="30" customFormat="false" ht="15" hidden="false" customHeight="true" outlineLevel="0" collapsed="false">
      <c r="A30" s="17" t="s">
        <v>28</v>
      </c>
      <c r="B30" s="17"/>
      <c r="C30" s="17"/>
      <c r="D30" s="17"/>
      <c r="E30" s="17"/>
      <c r="F30" s="17"/>
      <c r="G30" s="17"/>
      <c r="H30" s="17"/>
    </row>
  </sheetData>
  <mergeCells count="17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2:H12"/>
    <mergeCell ref="A14:H14"/>
    <mergeCell ref="A22:H22"/>
    <mergeCell ref="A23:H25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4" t="s">
        <v>29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9" t="s">
        <v>30</v>
      </c>
      <c r="B2" s="9" t="s">
        <v>31</v>
      </c>
    </row>
    <row r="3" customFormat="false" ht="15" hidden="false" customHeight="true" outlineLevel="0" collapsed="false">
      <c r="A3" s="18" t="s">
        <v>32</v>
      </c>
      <c r="B3" s="8" t="s">
        <v>33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8" t="s">
        <v>34</v>
      </c>
      <c r="B4" s="8" t="s">
        <v>35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8" t="s">
        <v>36</v>
      </c>
      <c r="B5" s="8" t="s">
        <v>37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8" t="s">
        <v>38</v>
      </c>
      <c r="B6" s="8" t="s">
        <v>39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8" t="s">
        <v>40</v>
      </c>
      <c r="B7" s="8" t="s">
        <v>41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8" t="s">
        <v>42</v>
      </c>
      <c r="B8" s="8" t="s">
        <v>43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8" t="s">
        <v>44</v>
      </c>
      <c r="B9" s="8" t="s">
        <v>45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8" t="s">
        <v>46</v>
      </c>
      <c r="B10" s="8" t="s">
        <v>47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8" t="s">
        <v>48</v>
      </c>
      <c r="B11" s="8" t="s">
        <v>49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8" t="s">
        <v>50</v>
      </c>
      <c r="B12" s="8" t="s">
        <v>51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4" t="s">
        <v>52</v>
      </c>
      <c r="B1" s="14"/>
    </row>
    <row r="2" customFormat="false" ht="15" hidden="false" customHeight="false" outlineLevel="0" collapsed="false">
      <c r="A2" s="9" t="s">
        <v>53</v>
      </c>
      <c r="B2" s="9" t="s">
        <v>54</v>
      </c>
    </row>
    <row r="3" customFormat="false" ht="15" hidden="false" customHeight="false" outlineLevel="0" collapsed="false">
      <c r="A3" s="13" t="s">
        <v>55</v>
      </c>
      <c r="B3" s="10" t="s">
        <v>56</v>
      </c>
    </row>
    <row r="4" customFormat="false" ht="15" hidden="false" customHeight="false" outlineLevel="0" collapsed="false">
      <c r="A4" s="13" t="s">
        <v>57</v>
      </c>
      <c r="B4" s="10" t="s">
        <v>58</v>
      </c>
    </row>
    <row r="5" customFormat="false" ht="6" hidden="false" customHeight="true" outlineLevel="0" collapsed="false"/>
    <row r="6" customFormat="false" ht="18" hidden="false" customHeight="true" outlineLevel="0" collapsed="false">
      <c r="A6" s="14" t="s">
        <v>59</v>
      </c>
      <c r="B6" s="14"/>
    </row>
    <row r="7" customFormat="false" ht="15" hidden="false" customHeight="false" outlineLevel="0" collapsed="false">
      <c r="A7" s="9" t="s">
        <v>60</v>
      </c>
      <c r="B7" s="9" t="s">
        <v>61</v>
      </c>
    </row>
    <row r="8" customFormat="false" ht="6" hidden="false" customHeight="true" outlineLevel="0" collapsed="false"/>
    <row r="9" customFormat="false" ht="18" hidden="false" customHeight="true" outlineLevel="0" collapsed="false">
      <c r="A9" s="14" t="s">
        <v>62</v>
      </c>
      <c r="B9" s="14"/>
    </row>
    <row r="10" customFormat="false" ht="15" hidden="false" customHeight="false" outlineLevel="0" collapsed="false">
      <c r="A10" s="19" t="s">
        <v>63</v>
      </c>
    </row>
    <row r="11" customFormat="false" ht="15" hidden="false" customHeight="false" outlineLevel="0" collapsed="false">
      <c r="A11" s="19" t="s">
        <v>64</v>
      </c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