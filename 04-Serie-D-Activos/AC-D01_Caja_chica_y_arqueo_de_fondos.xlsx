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<sst xmlns="http://schemas.openxmlformats.org/spreadsheetml/2006/main" count="59" uniqueCount="58">
  <si>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</si>
  <si>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</si>
  <si>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</si>
  <si>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</si>
  <si>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AC-D01</t>
  </si>
  <si>
    <t xml:space="preserve">Título:</t>
  </si>
  <si>
    <t xml:space="preserve">Caja chica y arqueo de fondos</t>
  </si>
  <si>
    <t xml:space="preserve">Serie / Archivo:</t>
  </si>
  <si>
    <t xml:space="preserve">Archivo Corriente — Serie D: Activos, Pruebas de Detalle Adicionales</t>
  </si>
  <si>
    <t xml:space="preserve">Procedimiento</t>
  </si>
  <si>
    <t xml:space="preserve">•  Arqueo sorpresivo de caja chica al cierre y conciliación contra el fondo fijo autorizado.</t>
  </si>
  <si>
    <t xml:space="preserve">Arqueo de caja chica</t>
  </si>
  <si>
    <t xml:space="preserve">Concepto</t>
  </si>
  <si>
    <t xml:space="preserve">Monto (L)</t>
  </si>
  <si>
    <t xml:space="preserve">Efectivo contado</t>
  </si>
  <si>
    <t xml:space="preserve">Vales y comprobantes pendientes de reposición</t>
  </si>
  <si>
    <t xml:space="preserve">Total según arqueo</t>
  </si>
  <si>
    <t xml:space="preserve">Saldo según libros</t>
  </si>
  <si>
    <t xml:space="preserve">Diferencia</t>
  </si>
  <si>
    <t xml:space="preserve">CONCLUSIÓN DE LA CÉDULA</t>
  </si>
  <si>
    <t xml:space="preserve">Arqueo sin diferencias. Fondo fijo utilizado conforme a la política de la entidad.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</si>
  <si>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</si>
  <si>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</si>
  <si>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</si>
  <si>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</si>
  <si>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</si>
  <si>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</si>
  <si>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</si>
  <si>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</si>
  <si>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</si>
  <si>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</si>
  <si>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</si>
  <si>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</si>
  <si>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</si>
  <si>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</si>
  <si>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</si>
  <si>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</si>
  <si>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</si>
  <si>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</si>
  <si>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</si>
  <si>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</si>
  <si>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</si>
  <si>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</si>
  <si>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</si>
  <si>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</si>
  <si>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</si>
  <si>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</si>
  <si>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</si>
  <si>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AC-D01</t>
  </si>
  <si>
    <t xml:space="preserve">Norma</t>
  </si>
  <si>
    <t xml:space="preserve">Aplicación en esta cédula</t>
  </si>
  <si>
    <t xml:space="preserve">NIA 501</t>
  </si>
  <si>
    <t xml:space="preserve">Evidencia de auditoría — asistencia al arqueo de efectivo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</si>
  <si>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</si>
  <si>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</si>
  <si>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</si>
  <si>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</si>
  <si>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AC-H01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</si>
</sst>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11" t="n">
        <v>25000</v>
      </c>
    </row>
    <row r="15" customFormat="false" ht="23.85" hidden="false" customHeight="false" outlineLevel="0" collapsed="false">
      <c r="A15" s="10" t="s">
        <v>15</v>
      </c>
      <c r="B15" s="11" t="n">
        <v>5000</v>
      </c>
    </row>
    <row r="16" customFormat="false" ht="15" hidden="false" customHeight="false" outlineLevel="0" collapsed="false">
      <c r="A16" s="10" t="s">
        <v>16</v>
      </c>
      <c r="B16" s="12" t="n">
        <f aca="false">B14+B15</f>
        <v>30000</v>
      </c>
    </row>
    <row r="17" customFormat="false" ht="15" hidden="false" customHeight="false" outlineLevel="0" collapsed="false">
      <c r="A17" s="10" t="s">
        <v>17</v>
      </c>
      <c r="B17" s="11" t="n">
        <v>30000</v>
      </c>
    </row>
    <row r="18" customFormat="false" ht="15" hidden="false" customHeight="false" outlineLevel="0" collapsed="false">
      <c r="A18" s="10" t="s">
        <v>18</v>
      </c>
      <c r="B18" s="12" t="n">
        <f aca="false">B16-B17</f>
        <v>0</v>
      </c>
    </row>
    <row r="19" customFormat="false" ht="6" hidden="false" customHeight="true" outlineLevel="0" collapsed="false"/>
    <row r="20" customFormat="false" ht="18" hidden="false" customHeight="true" outlineLevel="0" collapsed="false">
      <c r="A20" s="13" t="s">
        <v>19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4" t="s">
        <v>20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7.5" hidden="false" customHeight="true" outlineLevel="0" collapsed="false"/>
    <row r="25" customFormat="false" ht="15" hidden="false" customHeight="false" outlineLevel="0" collapsed="false">
      <c r="A25" s="9" t="s">
        <v>21</v>
      </c>
      <c r="B25" s="9" t="s">
        <v>22</v>
      </c>
      <c r="C25" s="9" t="s">
        <v>23</v>
      </c>
      <c r="D25" s="9" t="s">
        <v>22</v>
      </c>
      <c r="E25" s="9"/>
      <c r="F25" s="9"/>
      <c r="G25" s="9"/>
      <c r="H25" s="9"/>
    </row>
    <row r="26" customFormat="false" ht="15" hidden="false" customHeight="false" outlineLevel="0" collapsed="false">
      <c r="A26" s="15"/>
      <c r="B26" s="15"/>
      <c r="C26" s="15"/>
      <c r="D26" s="15"/>
    </row>
    <row r="28" customFormat="false" ht="15" hidden="false" customHeight="true" outlineLevel="0" collapsed="false">
      <c r="A28" s="16" t="s">
        <v>24</v>
      </c>
      <c r="B28" s="16"/>
      <c r="C28" s="16"/>
      <c r="D28" s="16"/>
      <c r="E28" s="16"/>
      <c r="F28" s="16"/>
      <c r="G28" s="16"/>
      <c r="H28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20:H20"/>
    <mergeCell ref="A21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25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26</v>
      </c>
      <c r="B2" s="9" t="s">
        <v>27</v>
      </c>
    </row>
    <row r="3" customFormat="false" ht="15" hidden="false" customHeight="true" outlineLevel="0" collapsed="false">
      <c r="A3" s="17" t="s">
        <v>28</v>
      </c>
      <c r="B3" s="8" t="s">
        <v>29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30</v>
      </c>
      <c r="B4" s="8" t="s">
        <v>31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32</v>
      </c>
      <c r="B5" s="8" t="s">
        <v>33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34</v>
      </c>
      <c r="B6" s="8" t="s">
        <v>35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36</v>
      </c>
      <c r="B7" s="8" t="s">
        <v>37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38</v>
      </c>
      <c r="B8" s="8" t="s">
        <v>39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40</v>
      </c>
      <c r="B9" s="8" t="s">
        <v>41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42</v>
      </c>
      <c r="B10" s="8" t="s">
        <v>43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44</v>
      </c>
      <c r="B11" s="8" t="s">
        <v>45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46</v>
      </c>
      <c r="B12" s="8" t="s">
        <v>47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48</v>
      </c>
      <c r="B1" s="13"/>
    </row>
    <row r="2" customFormat="false" ht="15" hidden="false" customHeight="false" outlineLevel="0" collapsed="false">
      <c r="A2" s="9" t="s">
        <v>49</v>
      </c>
      <c r="B2" s="9" t="s">
        <v>50</v>
      </c>
    </row>
    <row r="3" customFormat="false" ht="15" hidden="false" customHeight="false" outlineLevel="0" collapsed="false">
      <c r="A3" s="18" t="s">
        <v>51</v>
      </c>
      <c r="B3" s="10" t="s">
        <v>52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53</v>
      </c>
      <c r="B5" s="13"/>
    </row>
    <row r="6" customFormat="false" ht="15" hidden="false" customHeight="false" outlineLevel="0" collapsed="false">
      <c r="A6" s="9" t="s">
        <v>54</v>
      </c>
      <c r="B6" s="9" t="s">
        <v>55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56</v>
      </c>
      <c r="B8" s="13"/>
    </row>
    <row r="9" customFormat="false" ht="15" hidden="false" customHeight="false" outlineLevel="0" collapsed="false">
      <c r="A9" s="19" t="s">
        <v>57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