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1F3864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4" fontId="8" fillId="0" borderId="1" applyAlignment="1" pivotButton="0" quotePrefix="0" xfId="0">
      <alignment horizontal="left" vertical="center" wrapText="1"/>
    </xf>
    <xf numFmtId="4" fontId="4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AC-A05</t>
        </is>
      </c>
    </row>
    <row r="6">
      <c r="A6" s="4" t="inlineStr">
        <is>
          <t>Título:</t>
        </is>
      </c>
      <c r="C6" s="4" t="inlineStr">
        <is>
          <t>Determinacion de materialidad</t>
        </is>
      </c>
    </row>
    <row r="7">
      <c r="A7" s="4" t="inlineStr">
        <is>
          <t>Serie / Archivo:</t>
        </is>
      </c>
      <c r="C7" s="6" t="inlineStr">
        <is>
          <t>Archivo Corriente — Serie A: Planificación y Documentos Generales</t>
        </is>
      </c>
    </row>
    <row r="8" ht="6" customHeight="1"/>
    <row r="9">
      <c r="A9" s="7" t="inlineStr">
        <is>
          <t>Metodología (NIA 320)</t>
        </is>
      </c>
    </row>
    <row r="10">
      <c r="A10" s="8" t="inlineStr">
        <is>
          <t>•  Se selecciona como cifra de referencia el resultado antes de impuestos, por tratarse de una entidad comercial con utilidades estables.</t>
        </is>
      </c>
    </row>
    <row r="11">
      <c r="A11" s="8" t="inlineStr">
        <is>
          <t>•  Materialidad de ejecución fijada al 75% de la materialidad global, conforme al riesgo evaluado.</t>
        </is>
      </c>
    </row>
    <row r="12">
      <c r="A12" s="8" t="inlineStr">
        <is>
          <t>•  Umbral de diferencias no significativas (trivial threshold): 5% de la materialidad global.</t>
        </is>
      </c>
    </row>
    <row r="13" ht="4" customHeight="1"/>
    <row r="14">
      <c r="A14" s="7" t="inlineStr">
        <is>
          <t>Cálculo de materialidad</t>
        </is>
      </c>
    </row>
    <row r="15">
      <c r="A15" s="9" t="inlineStr">
        <is>
          <t>Concepto</t>
        </is>
      </c>
      <c r="B15" s="9" t="inlineStr">
        <is>
          <t>Valor (L)</t>
        </is>
      </c>
    </row>
    <row r="16">
      <c r="A16" s="8" t="inlineStr">
        <is>
          <t>Resultado antes de impuestos (cifra de referencia)</t>
        </is>
      </c>
      <c r="B16" s="10" t="n">
        <v>4200000</v>
      </c>
    </row>
    <row r="17">
      <c r="A17" s="8" t="inlineStr">
        <is>
          <t>Porcentaje aplicado</t>
        </is>
      </c>
      <c r="B17" s="10" t="n">
        <v>0.05</v>
      </c>
    </row>
    <row r="18">
      <c r="A18" s="8" t="inlineStr">
        <is>
          <t>Materialidad global</t>
        </is>
      </c>
      <c r="B18" s="11">
        <f>B16*B17</f>
        <v/>
      </c>
    </row>
    <row r="19">
      <c r="A19" s="8" t="inlineStr">
        <is>
          <t>Materialidad de ejecucion (75% de la global)</t>
        </is>
      </c>
      <c r="B19" s="11">
        <f>B18*0.75</f>
        <v/>
      </c>
    </row>
    <row r="20">
      <c r="A20" s="8" t="inlineStr">
        <is>
          <t>Umbral de diferencias no significativas (5% de la global)</t>
        </is>
      </c>
      <c r="B20" s="11">
        <f>B18*0.05</f>
        <v/>
      </c>
    </row>
    <row r="21" ht="6" customHeight="1"/>
    <row r="22" ht="18" customHeight="1">
      <c r="A22" s="12" t="inlineStr">
        <is>
          <t>CONCLUSIÓN DE LA CÉDULA</t>
        </is>
      </c>
    </row>
    <row r="23">
      <c r="A23" s="13" t="inlineStr">
        <is>
          <t>Materialidad global, de ejecución y umbral trivial determinados y documentados. Se revisará si surge información que altere la cifra de referencia durante el trabajo de campo (NIA 320.12-.13).</t>
        </is>
      </c>
    </row>
    <row r="24"/>
    <row r="25"/>
    <row r="26" ht="8" customHeight="1"/>
    <row r="27">
      <c r="A27" s="9" t="inlineStr">
        <is>
          <t>Elaborado por</t>
        </is>
      </c>
      <c r="B27" s="9" t="inlineStr">
        <is>
          <t>Fecha</t>
        </is>
      </c>
      <c r="C27" s="9" t="inlineStr">
        <is>
          <t>Revisado por</t>
        </is>
      </c>
      <c r="D27" s="9" t="inlineStr">
        <is>
          <t>Fecha</t>
        </is>
      </c>
      <c r="E27" s="9" t="inlineStr"/>
      <c r="F27" s="9" t="inlineStr"/>
      <c r="G27" s="9" t="inlineStr"/>
      <c r="H27" s="9" t="inlineStr"/>
    </row>
    <row r="28">
      <c r="A28" s="14" t="n"/>
      <c r="B28" s="14" t="n"/>
      <c r="C28" s="14" t="n"/>
      <c r="D28" s="14" t="n"/>
    </row>
    <row r="30">
      <c r="A30" s="15" t="inlineStr">
        <is>
          <t>Este papel de trabajo es plantilla genérica con fines de capacitación / diseño de metodología (COHPUCP). No corresponde a un encargo de auditoría real.</t>
        </is>
      </c>
    </row>
  </sheetData>
  <mergeCells count="17">
    <mergeCell ref="A9:H9"/>
    <mergeCell ref="A12:H12"/>
    <mergeCell ref="C6:H6"/>
    <mergeCell ref="A3:H3"/>
    <mergeCell ref="A30:H30"/>
    <mergeCell ref="A7:B7"/>
    <mergeCell ref="C7:H7"/>
    <mergeCell ref="C5:H5"/>
    <mergeCell ref="A2:H2"/>
    <mergeCell ref="A5:B5"/>
    <mergeCell ref="A10:H10"/>
    <mergeCell ref="A23:H25"/>
    <mergeCell ref="A11:H11"/>
    <mergeCell ref="A14:H14"/>
    <mergeCell ref="A1:H1"/>
    <mergeCell ref="A6:B6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12" t="inlineStr">
        <is>
          <t>LEYENDA DE MARCAS DE AUDITORÍA UTILIZADAS</t>
        </is>
      </c>
    </row>
    <row r="2">
      <c r="A2" s="9" t="inlineStr">
        <is>
          <t>Marca</t>
        </is>
      </c>
      <c r="B2" s="9" t="inlineStr">
        <is>
          <t>Significado</t>
        </is>
      </c>
    </row>
    <row r="3">
      <c r="A3" s="16" t="inlineStr">
        <is>
          <t>√</t>
        </is>
      </c>
      <c r="B3" s="8" t="inlineStr">
        <is>
          <t>Cotejado con documento fuente / registro contable</t>
        </is>
      </c>
    </row>
    <row r="4">
      <c r="A4" s="16" t="inlineStr">
        <is>
          <t>∑</t>
        </is>
      </c>
      <c r="B4" s="8" t="inlineStr">
        <is>
          <t>Sumado y verificado aritméticamente</t>
        </is>
      </c>
    </row>
    <row r="5">
      <c r="A5" s="16" t="inlineStr">
        <is>
          <t>R</t>
        </is>
      </c>
      <c r="B5" s="8" t="inlineStr">
        <is>
          <t>Recalculado por el auditor</t>
        </is>
      </c>
    </row>
    <row r="6">
      <c r="A6" s="16" t="inlineStr">
        <is>
          <t>C</t>
        </is>
      </c>
      <c r="B6" s="8" t="inlineStr">
        <is>
          <t>Confirmado directamente con tercero (circularización)</t>
        </is>
      </c>
    </row>
    <row r="7">
      <c r="A7" s="16" t="inlineStr">
        <is>
          <t>PT</t>
        </is>
      </c>
      <c r="B7" s="8" t="inlineStr">
        <is>
          <t>Referencia cruzada a otro papel de trabajo</t>
        </is>
      </c>
    </row>
    <row r="8">
      <c r="A8" s="16" t="inlineStr">
        <is>
          <t>N/A</t>
        </is>
      </c>
      <c r="B8" s="8" t="inlineStr">
        <is>
          <t>No aplica para este rubro / período</t>
        </is>
      </c>
    </row>
    <row r="9">
      <c r="A9" s="16" t="inlineStr">
        <is>
          <t>Ø</t>
        </is>
      </c>
      <c r="B9" s="8" t="inlineStr">
        <is>
          <t>Pendiente de respuesta / documentación por recibir</t>
        </is>
      </c>
    </row>
    <row r="10">
      <c r="A10" s="16" t="inlineStr">
        <is>
          <t>⚠</t>
        </is>
      </c>
      <c r="B10" s="8" t="inlineStr">
        <is>
          <t>Hallazgo o excepción identificada — ver conclusión</t>
        </is>
      </c>
    </row>
    <row r="11">
      <c r="A11" s="16" t="inlineStr">
        <is>
          <t>VE</t>
        </is>
      </c>
      <c r="B11" s="8" t="inlineStr">
        <is>
          <t>Verificado contra evidencia externa (circularización, tasador, abogado)</t>
        </is>
      </c>
    </row>
    <row r="12">
      <c r="A12" s="16" t="inlineStr">
        <is>
          <t>TI</t>
        </is>
      </c>
      <c r="B12" s="8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12" t="inlineStr">
        <is>
          <t>MARCO NORMATIVO — AC-A05</t>
        </is>
      </c>
    </row>
    <row r="2">
      <c r="A2" s="9" t="inlineStr">
        <is>
          <t>Norma</t>
        </is>
      </c>
      <c r="B2" s="9" t="inlineStr">
        <is>
          <t>Aplicación en esta cédula</t>
        </is>
      </c>
    </row>
    <row r="3">
      <c r="A3" s="4" t="inlineStr">
        <is>
          <t>NIA 320</t>
        </is>
      </c>
      <c r="B3" s="8" t="inlineStr">
        <is>
          <t>Materialidad en la planificación y ejecución de la auditoría</t>
        </is>
      </c>
    </row>
    <row r="4">
      <c r="A4" s="4" t="inlineStr">
        <is>
          <t>NIA 450</t>
        </is>
      </c>
      <c r="B4" s="8" t="inlineStr">
        <is>
          <t>Evaluación de las incorrecciones identificadas durante la auditoría</t>
        </is>
      </c>
    </row>
    <row r="5" ht="6" customHeight="1"/>
    <row r="6" ht="18" customHeight="1">
      <c r="A6" s="12" t="inlineStr">
        <is>
          <t>MARCO REGULATORIO HONDUREÑO APLICABLE</t>
        </is>
      </c>
    </row>
    <row r="7">
      <c r="A7" s="9" t="inlineStr">
        <is>
          <t>Norma / Institución</t>
        </is>
      </c>
      <c r="B7" s="9" t="inlineStr">
        <is>
          <t>Aplicación</t>
        </is>
      </c>
    </row>
    <row r="8" ht="6" customHeight="1"/>
    <row r="9" ht="18" customHeight="1">
      <c r="A9" s="12" t="inlineStr">
        <is>
          <t>CÉDULAS RELACIONADAS (referencia cruzada)</t>
        </is>
      </c>
    </row>
    <row r="10">
      <c r="A10" s="17" t="inlineStr">
        <is>
          <t>AC-A04</t>
        </is>
      </c>
    </row>
    <row r="11">
      <c r="A11" s="17" t="inlineStr">
        <is>
          <t>AC-K05</t>
        </is>
      </c>
    </row>
  </sheetData>
  <mergeCells count="5">
    <mergeCell ref="B11"/>
    <mergeCell ref="B10"/>
    <mergeCell ref="A1:B1"/>
    <mergeCell ref="A9:B9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2026-09-12T07:25:57Z</dcterms:created>
  <dcterms:modified xmlns:dcterms="http://purl.org/dc/terms/" xmlns:xsi="http://www.w3.org/2001/XMLSchema-instance" xsi:type="dcterms:W3CDTF">2026-09-12T07:25:57Z</dcterms:modified>
</cp:coreProperties>
</file>