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<sst xmlns="http://schemas.openxmlformats.org/spreadsheetml/2006/main" count="61" uniqueCount="60">
  <si>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</si>
  <si>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</si>
  <si>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</si>
  <si>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</si>
  <si>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AC-C01</t>
  </si>
  <si>
    <t xml:space="preserve">Título:</t>
  </si>
  <si>
    <t xml:space="preserve">Procedimientos analiticos preliminares</t>
  </si>
  <si>
    <t xml:space="preserve">Serie / Archivo:</t>
  </si>
  <si>
    <t xml:space="preserve">Archivo Corriente — Serie C: Procedimientos Analíticos y Confirmaciones Externas</t>
  </si>
  <si>
    <t xml:space="preserve">Objetivo (NIA 315.6)</t>
  </si>
  <si>
    <t xml:space="preserve">•  Identificar relaciones inusuales o inesperadas en los estados financieros que orienten la evaluación de riesgos antes de la ejecución de pruebas de detalle.</t>
  </si>
  <si>
    <t xml:space="preserve">Variación de rubros principales (año actual vs. anterior)</t>
  </si>
  <si>
    <t xml:space="preserve">Rubro</t>
  </si>
  <si>
    <t xml:space="preserve">2025 (L)</t>
  </si>
  <si>
    <t xml:space="preserve">2024 (L)</t>
  </si>
  <si>
    <t xml:space="preserve">Variacion (L)</t>
  </si>
  <si>
    <t xml:space="preserve">Variacion %</t>
  </si>
  <si>
    <t xml:space="preserve">Ingresos por ventas</t>
  </si>
  <si>
    <t xml:space="preserve">Costo de ventas</t>
  </si>
  <si>
    <t xml:space="preserve">Gastos operativos</t>
  </si>
  <si>
    <t xml:space="preserve">Cuentas por cobrar</t>
  </si>
  <si>
    <t xml:space="preserve">CONCLUSIÓN DE LA CÉDULA</t>
  </si>
  <si>
    <t xml:space="preserve">Variaciones dentro de rangos explicables por el crecimiento de ventas del período. El incremento proporcional en cuentas por cobrar (mayor al de ventas) se traslada como foco de atención a AC-H02.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</si>
  <si>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</si>
  <si>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</si>
  <si>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</si>
  <si>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</si>
  <si>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</si>
  <si>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</si>
  <si>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</si>
  <si>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</si>
  <si>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</si>
  <si>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</si>
  <si>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</si>
  <si>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</si>
  <si>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</si>
  <si>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</si>
  <si>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</si>
  <si>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</si>
  <si>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</si>
  <si>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</si>
  <si>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</si>
  <si>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</si>
  <si>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</si>
  <si>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</si>
  <si>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</si>
  <si>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</si>
  <si>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</si>
  <si>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</si>
  <si>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</si>
  <si>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AC-C01</t>
  </si>
  <si>
    <t xml:space="preserve">Norma</t>
  </si>
  <si>
    <t xml:space="preserve">Aplicación en esta cédula</t>
  </si>
  <si>
    <t xml:space="preserve">NIA 315</t>
  </si>
  <si>
    <t xml:space="preserve">Procedimientos analíticos como procedimiento de evaluación de riesgos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</si>
  <si>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</si>
  <si>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</si>
  <si>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</si>
  <si>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</si>
  <si>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AC-H02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</si>
</sst>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1F3864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3.75" hidden="false" customHeight="true" outlineLevel="0" collapsed="false"/>
    <row r="12" customFormat="false" ht="15" hidden="false" customHeight="true" outlineLevel="0" collapsed="false">
      <c r="A12" s="7" t="s">
        <v>11</v>
      </c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9" t="s">
        <v>12</v>
      </c>
      <c r="B13" s="9" t="s">
        <v>13</v>
      </c>
      <c r="C13" s="9" t="s">
        <v>14</v>
      </c>
      <c r="D13" s="9" t="s">
        <v>15</v>
      </c>
      <c r="E13" s="9" t="s">
        <v>16</v>
      </c>
    </row>
    <row r="14" customFormat="false" ht="15" hidden="false" customHeight="false" outlineLevel="0" collapsed="false">
      <c r="A14" s="10" t="s">
        <v>17</v>
      </c>
      <c r="B14" s="11" t="n">
        <v>52000000</v>
      </c>
      <c r="C14" s="11" t="n">
        <v>47500000</v>
      </c>
      <c r="D14" s="12" t="n">
        <f aca="false">B14-C14</f>
        <v>4500000</v>
      </c>
      <c r="E14" s="12" t="n">
        <f aca="false">D14/C14</f>
        <v>0.0947368421052632</v>
      </c>
    </row>
    <row r="15" customFormat="false" ht="15" hidden="false" customHeight="false" outlineLevel="0" collapsed="false">
      <c r="A15" s="10" t="s">
        <v>18</v>
      </c>
      <c r="B15" s="11" t="n">
        <v>34000000</v>
      </c>
      <c r="C15" s="11" t="n">
        <v>31200000</v>
      </c>
      <c r="D15" s="12" t="n">
        <f aca="false">B15-C15</f>
        <v>2800000</v>
      </c>
      <c r="E15" s="12" t="n">
        <f aca="false">D15/C15</f>
        <v>0.0897435897435897</v>
      </c>
    </row>
    <row r="16" customFormat="false" ht="15" hidden="false" customHeight="false" outlineLevel="0" collapsed="false">
      <c r="A16" s="10" t="s">
        <v>19</v>
      </c>
      <c r="B16" s="11" t="n">
        <v>9800000</v>
      </c>
      <c r="C16" s="11" t="n">
        <v>9100000</v>
      </c>
      <c r="D16" s="12" t="n">
        <f aca="false">B16-C16</f>
        <v>700000</v>
      </c>
      <c r="E16" s="12" t="n">
        <f aca="false">D16/C16</f>
        <v>0.0769230769230769</v>
      </c>
    </row>
    <row r="17" customFormat="false" ht="15" hidden="false" customHeight="false" outlineLevel="0" collapsed="false">
      <c r="A17" s="10" t="s">
        <v>20</v>
      </c>
      <c r="B17" s="11" t="n">
        <v>8600000</v>
      </c>
      <c r="C17" s="11" t="n">
        <v>7200000</v>
      </c>
      <c r="D17" s="12" t="n">
        <f aca="false">B17-C17</f>
        <v>1400000</v>
      </c>
      <c r="E17" s="12" t="n">
        <f aca="false">D17/C17</f>
        <v>0.194444444444444</v>
      </c>
    </row>
    <row r="18" customFormat="false" ht="6" hidden="false" customHeight="true" outlineLevel="0" collapsed="false"/>
    <row r="19" customFormat="false" ht="18" hidden="false" customHeight="true" outlineLevel="0" collapsed="false">
      <c r="A19" s="13" t="s">
        <v>21</v>
      </c>
      <c r="B19" s="13"/>
      <c r="C19" s="13"/>
      <c r="D19" s="13"/>
      <c r="E19" s="13"/>
      <c r="F19" s="13"/>
      <c r="G19" s="13"/>
      <c r="H19" s="13"/>
    </row>
    <row r="20" customFormat="false" ht="15" hidden="false" customHeight="true" outlineLevel="0" collapsed="false">
      <c r="A20" s="14" t="s">
        <v>22</v>
      </c>
      <c r="B20" s="14"/>
      <c r="C20" s="14"/>
      <c r="D20" s="14"/>
      <c r="E20" s="14"/>
      <c r="F20" s="14"/>
      <c r="G20" s="14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  <c r="G22" s="14"/>
      <c r="H22" s="14"/>
    </row>
    <row r="23" customFormat="false" ht="7.5" hidden="false" customHeight="true" outlineLevel="0" collapsed="false"/>
    <row r="24" customFormat="false" ht="15" hidden="false" customHeight="false" outlineLevel="0" collapsed="false">
      <c r="A24" s="9" t="s">
        <v>23</v>
      </c>
      <c r="B24" s="9" t="s">
        <v>24</v>
      </c>
      <c r="C24" s="9" t="s">
        <v>25</v>
      </c>
      <c r="D24" s="9" t="s">
        <v>24</v>
      </c>
      <c r="E24" s="9"/>
      <c r="F24" s="9"/>
      <c r="G24" s="9"/>
      <c r="H24" s="9"/>
    </row>
    <row r="25" customFormat="false" ht="15" hidden="false" customHeight="false" outlineLevel="0" collapsed="false">
      <c r="A25" s="15"/>
      <c r="B25" s="15"/>
      <c r="C25" s="15"/>
      <c r="D25" s="15"/>
    </row>
    <row r="27" customFormat="false" ht="15" hidden="false" customHeight="true" outlineLevel="0" collapsed="false">
      <c r="A27" s="16" t="s">
        <v>26</v>
      </c>
      <c r="B27" s="16"/>
      <c r="C27" s="16"/>
      <c r="D27" s="16"/>
      <c r="E27" s="16"/>
      <c r="F27" s="16"/>
      <c r="G27" s="16"/>
      <c r="H27" s="16"/>
    </row>
  </sheetData>
  <mergeCells count="15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19:H19"/>
    <mergeCell ref="A20:H22"/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27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28</v>
      </c>
      <c r="B2" s="9" t="s">
        <v>29</v>
      </c>
    </row>
    <row r="3" customFormat="false" ht="15" hidden="false" customHeight="true" outlineLevel="0" collapsed="false">
      <c r="A3" s="17" t="s">
        <v>30</v>
      </c>
      <c r="B3" s="8" t="s">
        <v>31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32</v>
      </c>
      <c r="B4" s="8" t="s">
        <v>33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34</v>
      </c>
      <c r="B5" s="8" t="s">
        <v>35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36</v>
      </c>
      <c r="B6" s="8" t="s">
        <v>37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38</v>
      </c>
      <c r="B7" s="8" t="s">
        <v>39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40</v>
      </c>
      <c r="B8" s="8" t="s">
        <v>41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42</v>
      </c>
      <c r="B9" s="8" t="s">
        <v>43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44</v>
      </c>
      <c r="B10" s="8" t="s">
        <v>45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46</v>
      </c>
      <c r="B11" s="8" t="s">
        <v>47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48</v>
      </c>
      <c r="B12" s="8" t="s">
        <v>49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50</v>
      </c>
      <c r="B1" s="13"/>
    </row>
    <row r="2" customFormat="false" ht="15" hidden="false" customHeight="false" outlineLevel="0" collapsed="false">
      <c r="A2" s="9" t="s">
        <v>51</v>
      </c>
      <c r="B2" s="9" t="s">
        <v>52</v>
      </c>
    </row>
    <row r="3" customFormat="false" ht="15" hidden="false" customHeight="false" outlineLevel="0" collapsed="false">
      <c r="A3" s="18" t="s">
        <v>53</v>
      </c>
      <c r="B3" s="10" t="s">
        <v>54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55</v>
      </c>
      <c r="B5" s="13"/>
    </row>
    <row r="6" customFormat="false" ht="15" hidden="false" customHeight="false" outlineLevel="0" collapsed="false">
      <c r="A6" s="9" t="s">
        <v>56</v>
      </c>
      <c r="B6" s="9" t="s">
        <v>57</v>
      </c>
    </row>
    <row r="7" customFormat="false" ht="6" hidden="false" customHeight="true" outlineLevel="0" collapsed="false"/>
    <row r="8" customFormat="false" ht="18" hidden="false" customHeight="true" outlineLevel="0" collapsed="false">
      <c r="A8" s="13" t="s">
        <v>58</v>
      </c>
      <c r="B8" s="13"/>
    </row>
    <row r="9" customFormat="false" ht="15" hidden="false" customHeight="false" outlineLevel="0" collapsed="false">
      <c r="A9" s="19" t="s">
        <v>59</v>
      </c>
    </row>
  </sheetData>
  <mergeCells count="3">
    <mergeCell ref="A1:B1"/>
    <mergeCell ref="A5:B5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2026-09-12T07:28:22Z</dcterms:created>
  <dc:creator>openpyxl</dc:creator>
  <dc:description/>
  <dc:language>en-US</dc:language>
  <cp:lastModifiedBy/>
  <dcterms:modified xsi:type="dcterms:W3CDTF">2026-09-12T07:28:22Z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